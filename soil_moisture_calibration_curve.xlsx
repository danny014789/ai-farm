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1c023685c7c5b8/Documents/GitHub/ai-farm/"/>
    </mc:Choice>
  </mc:AlternateContent>
  <xr:revisionPtr revIDLastSave="60" documentId="8_{65C0100A-4DE8-4BA5-98B4-D9C23DC27DA5}" xr6:coauthVersionLast="47" xr6:coauthVersionMax="47" xr10:uidLastSave="{859D46A3-C176-4133-8EB1-12FBC21DF0E2}"/>
  <bookViews>
    <workbookView xWindow="-120" yWindow="-120" windowWidth="29040" windowHeight="15720" xr2:uid="{337DBDA1-1B73-4EA8-9F24-E0B0878FC1B2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C13" i="1"/>
  <c r="D12" i="1"/>
  <c r="C12" i="1"/>
  <c r="B12" i="1" a="1"/>
  <c r="B12" i="1" s="1"/>
  <c r="U2" i="1"/>
  <c r="T2" i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<sst xmlns="http://schemas.openxmlformats.org/spreadsheetml/2006/main" count="2" uniqueCount="2">
  <si>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Sensor Reading</t>
    <phoneticPr fontId="1" type="noConversion"/>
  </si>
  <si>
    <t>Soil Moisture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</si>
</sst>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工作表1!$B$1</c:f>
              <c:strCache>
                <c:ptCount val="1"/>
                <c:pt idx="0">
                  <c:v>Soil Moisture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50"/>
            <c:backward val="400"/>
            <c:dispRSqr val="1"/>
            <c:dispEq val="1"/>
            <c:trendlineLbl>
              <c:layout>
                <c:manualLayout>
                  <c:x val="3.0747624648249528E-2"/>
                  <c:y val="-0.18017527588776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工作表1!$A$2:$A$10</c:f>
              <c:numCache>
                <c:formatCode>General</c:formatCode>
                <c:ptCount val="9"/>
                <c:pt idx="0">
                  <c:v>822</c:v>
                </c:pt>
                <c:pt idx="1">
                  <c:v>676</c:v>
                </c:pt>
                <c:pt idx="2">
                  <c:v>551</c:v>
                </c:pt>
                <c:pt idx="3">
                  <c:v>509</c:v>
                </c:pt>
                <c:pt idx="4">
                  <c:v>486</c:v>
                </c:pt>
                <c:pt idx="5">
                  <c:v>470</c:v>
                </c:pt>
                <c:pt idx="6">
                  <c:v>421</c:v>
                </c:pt>
                <c:pt idx="7">
                  <c:v>414</c:v>
                </c:pt>
                <c:pt idx="8">
                  <c:v>390</c:v>
                </c:pt>
              </c:numCache>
            </c:numRef>
          </c:xVal>
          <c:yVal>
            <c:numRef>
              <c:f>工作表1!$B$2:$B$10</c:f>
              <c:numCache>
                <c:formatCode>General</c:formatCode>
                <c:ptCount val="9"/>
                <c:pt idx="0">
                  <c:v>18.309999999999999</c:v>
                </c:pt>
                <c:pt idx="1">
                  <c:v>23.02</c:v>
                </c:pt>
                <c:pt idx="2">
                  <c:v>27.73</c:v>
                </c:pt>
                <c:pt idx="3">
                  <c:v>32.44</c:v>
                </c:pt>
                <c:pt idx="4">
                  <c:v>37.15</c:v>
                </c:pt>
                <c:pt idx="5">
                  <c:v>41.86</c:v>
                </c:pt>
                <c:pt idx="6">
                  <c:v>46.57</c:v>
                </c:pt>
                <c:pt idx="7">
                  <c:v>51.28</c:v>
                </c:pt>
                <c:pt idx="8">
                  <c:v>55.99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D-423C-8CE7-B34C0601E4BD}"/>
            </c:ext>
          </c:extLst>
        </c:ser>
        <c:ser>
          <c:idx val="1"/>
          <c:order val="1"/>
          <c:tx>
            <c:v>short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50"/>
            <c:backward val="400"/>
            <c:dispRSqr val="1"/>
            <c:dispEq val="1"/>
            <c:trendlineLbl>
              <c:layout>
                <c:manualLayout>
                  <c:x val="-8.570256667174346E-2"/>
                  <c:y val="-4.68605920771672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工作表1!$A$4:$A$10</c:f>
              <c:numCache>
                <c:formatCode>General</c:formatCode>
                <c:ptCount val="7"/>
                <c:pt idx="0">
                  <c:v>551</c:v>
                </c:pt>
                <c:pt idx="1">
                  <c:v>509</c:v>
                </c:pt>
                <c:pt idx="2">
                  <c:v>486</c:v>
                </c:pt>
                <c:pt idx="3">
                  <c:v>470</c:v>
                </c:pt>
                <c:pt idx="4">
                  <c:v>421</c:v>
                </c:pt>
                <c:pt idx="5">
                  <c:v>414</c:v>
                </c:pt>
                <c:pt idx="6">
                  <c:v>390</c:v>
                </c:pt>
              </c:numCache>
            </c:numRef>
          </c:xVal>
          <c:yVal>
            <c:numRef>
              <c:f>工作表1!$B$4:$B$10</c:f>
              <c:numCache>
                <c:formatCode>General</c:formatCode>
                <c:ptCount val="7"/>
                <c:pt idx="0">
                  <c:v>27.73</c:v>
                </c:pt>
                <c:pt idx="1">
                  <c:v>32.44</c:v>
                </c:pt>
                <c:pt idx="2">
                  <c:v>37.15</c:v>
                </c:pt>
                <c:pt idx="3">
                  <c:v>41.86</c:v>
                </c:pt>
                <c:pt idx="4">
                  <c:v>46.57</c:v>
                </c:pt>
                <c:pt idx="5">
                  <c:v>51.28</c:v>
                </c:pt>
                <c:pt idx="6">
                  <c:v>55.99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AD-423C-8CE7-B34C0601E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0756048"/>
        <c:axId val="1070757008"/>
      </c:scatterChart>
      <c:valAx>
        <c:axId val="107075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0757008"/>
        <c:crosses val="autoZero"/>
        <c:crossBetween val="midCat"/>
      </c:valAx>
      <c:valAx>
        <c:axId val="107075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0756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50"/>
            <c:backward val="400"/>
            <c:dispRSqr val="1"/>
            <c:dispEq val="1"/>
            <c:trendlineLbl>
              <c:layout>
                <c:manualLayout>
                  <c:x val="-6.5313210848643916E-2"/>
                  <c:y val="7.109361329833770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工作表1!$A$12:$A$20</c:f>
              <c:numCache>
                <c:formatCode>General</c:formatCode>
                <c:ptCount val="9"/>
                <c:pt idx="0">
                  <c:v>822</c:v>
                </c:pt>
                <c:pt idx="1">
                  <c:v>676</c:v>
                </c:pt>
                <c:pt idx="2">
                  <c:v>551</c:v>
                </c:pt>
                <c:pt idx="3">
                  <c:v>509</c:v>
                </c:pt>
                <c:pt idx="4">
                  <c:v>486</c:v>
                </c:pt>
                <c:pt idx="5">
                  <c:v>470</c:v>
                </c:pt>
                <c:pt idx="6">
                  <c:v>421</c:v>
                </c:pt>
                <c:pt idx="7">
                  <c:v>414</c:v>
                </c:pt>
                <c:pt idx="8">
                  <c:v>390</c:v>
                </c:pt>
              </c:numCache>
            </c:numRef>
          </c:xVal>
          <c:yVal>
            <c:numRef>
              <c:f>工作表1!$B$12:$B$20</c:f>
              <c:numCache>
                <c:formatCode>General</c:formatCode>
                <c:ptCount val="9"/>
                <c:pt idx="0">
                  <c:v>1.2626883443016965</c:v>
                </c:pt>
                <c:pt idx="1">
                  <c:v>1.3621053192937731</c:v>
                </c:pt>
                <c:pt idx="2">
                  <c:v>1.4429498695778618</c:v>
                </c:pt>
                <c:pt idx="3">
                  <c:v>1.5110808455391185</c:v>
                </c:pt>
                <c:pt idx="4">
                  <c:v>1.569958818096594</c:v>
                </c:pt>
                <c:pt idx="5">
                  <c:v>1.6217992240026677</c:v>
                </c:pt>
                <c:pt idx="6">
                  <c:v>1.6681062379327314</c:v>
                </c:pt>
                <c:pt idx="7">
                  <c:v>1.709948016510761</c:v>
                </c:pt>
                <c:pt idx="8">
                  <c:v>1.7481104674949839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95-43D9-B04D-8831FA0F5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98176"/>
        <c:axId val="197616576"/>
      </c:scatterChart>
      <c:valAx>
        <c:axId val="19729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7616576"/>
        <c:crosses val="autoZero"/>
        <c:crossBetween val="midCat"/>
      </c:valAx>
      <c:valAx>
        <c:axId val="19761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729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109536</xdr:colOff>
      <xdr:row>1</xdr:row>
      <xdr:rowOff>0</xdr:rowOff>
    </xdr:from>
    <xdr:to>
      <xdr:col>16</xdr:col>
      <xdr:colOff>438149</xdr:colOff>
      <xdr:row>22</xdr:row>
      <xdr:rowOff>100012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E582571-669F-5C59-782F-897B08333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576261</xdr:colOff>
      <xdr:row>9</xdr:row>
      <xdr:rowOff>171450</xdr:rowOff>
    </xdr:from>
    <xdr:to>
      <xdr:col>20</xdr:col>
      <xdr:colOff>47624</xdr:colOff>
      <xdr:row>27</xdr:row>
      <xdr:rowOff>147637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76D6674D-E724-717C-576D-515B610AEA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A2D17-5B94-4A9E-AB4F-034D488D0DC5}">
  <dimension ref="A1:U20"/>
  <sheetViews>
    <sheetView tabSelected="1" workbookViewId="0">
      <selection activeCell="E17" sqref="E17"/>
    </sheetView>
  </sheetViews>
  <sheetFormatPr defaultRowHeight="16.5" x14ac:dyDescent="0.25"/>
  <cols>
    <col min="1" max="1" width="14.125" bestFit="1" customWidth="1"/>
    <col min="2" max="2" width="12.125" bestFit="1" customWidth="1"/>
  </cols>
  <sheetData>
    <row r="1" spans="1:21" x14ac:dyDescent="0.25">
      <c r="A1" t="s">
        <v>0</v>
      </c>
      <c r="B1" t="s">
        <v>1</v>
      </c>
    </row>
    <row r="2" spans="1:21" x14ac:dyDescent="0.25">
      <c r="A2">
        <v>822</v>
      </c>
      <c r="B2">
        <v>18.309999999999999</v>
      </c>
      <c r="S2">
        <f>-0.0839*100+81.353</f>
        <v>72.962999999999994</v>
      </c>
      <c r="T2">
        <f>-0.1744*100+122.6</f>
        <v>105.16</v>
      </c>
      <c r="U2">
        <f>(S2+T2)/2</f>
        <v>89.061499999999995</v>
      </c>
    </row>
    <row r="3" spans="1:21" x14ac:dyDescent="0.25">
      <c r="A3">
        <v>676</v>
      </c>
      <c r="B3">
        <v>23.02</v>
      </c>
    </row>
    <row r="4" spans="1:21" x14ac:dyDescent="0.25">
      <c r="A4">
        <v>551</v>
      </c>
      <c r="B4">
        <v>27.73</v>
      </c>
    </row>
    <row r="5" spans="1:21" x14ac:dyDescent="0.25">
      <c r="A5">
        <v>509</v>
      </c>
      <c r="B5">
        <v>32.44</v>
      </c>
    </row>
    <row r="6" spans="1:21" x14ac:dyDescent="0.25">
      <c r="A6">
        <v>486</v>
      </c>
      <c r="B6">
        <v>37.15</v>
      </c>
    </row>
    <row r="7" spans="1:21" x14ac:dyDescent="0.25">
      <c r="A7">
        <v>470</v>
      </c>
      <c r="B7">
        <v>41.86</v>
      </c>
    </row>
    <row r="8" spans="1:21" x14ac:dyDescent="0.25">
      <c r="A8">
        <v>421</v>
      </c>
      <c r="B8">
        <v>46.57</v>
      </c>
    </row>
    <row r="9" spans="1:21" x14ac:dyDescent="0.25">
      <c r="A9">
        <v>414</v>
      </c>
      <c r="B9">
        <v>51.28</v>
      </c>
    </row>
    <row r="10" spans="1:21" x14ac:dyDescent="0.25">
      <c r="A10">
        <v>390</v>
      </c>
      <c r="B10">
        <v>55.99</v>
      </c>
    </row>
    <row r="12" spans="1:21" x14ac:dyDescent="0.25">
      <c r="A12">
        <v>822</v>
      </c>
      <c r="B12" cm="1">
        <f t="array" ref="B12:B20">LOG(B2:B10)</f>
        <v>1.2626883443016965</v>
      </c>
      <c r="C12">
        <f>-0.0011*100+2.1356</f>
        <v>2.0256000000000003</v>
      </c>
      <c r="D12">
        <f>10^C12</f>
        <v>106.07181496353166</v>
      </c>
    </row>
    <row r="13" spans="1:21" x14ac:dyDescent="0.25">
      <c r="A13">
        <v>676</v>
      </c>
      <c r="B13">
        <v>1.3621053192937731</v>
      </c>
      <c r="C13">
        <f>-0.0011*1000+2.1356</f>
        <v>1.0356000000000001</v>
      </c>
      <c r="D13">
        <f>10^C13</f>
        <v>10.854254493068266</v>
      </c>
    </row>
    <row r="14" spans="1:21" x14ac:dyDescent="0.25">
      <c r="A14">
        <v>551</v>
      </c>
      <c r="B14">
        <v>1.4429498695778618</v>
      </c>
    </row>
    <row r="15" spans="1:21" x14ac:dyDescent="0.25">
      <c r="A15">
        <v>509</v>
      </c>
      <c r="B15">
        <v>1.5110808455391185</v>
      </c>
    </row>
    <row r="16" spans="1:21" x14ac:dyDescent="0.25">
      <c r="A16">
        <v>486</v>
      </c>
      <c r="B16">
        <v>1.569958818096594</v>
      </c>
    </row>
    <row r="17" spans="1:2" x14ac:dyDescent="0.25">
      <c r="A17">
        <v>470</v>
      </c>
      <c r="B17">
        <v>1.6217992240026677</v>
      </c>
    </row>
    <row r="18" spans="1:2" x14ac:dyDescent="0.25">
      <c r="A18">
        <v>421</v>
      </c>
      <c r="B18">
        <v>1.6681062379327314</v>
      </c>
    </row>
    <row r="19" spans="1:2" x14ac:dyDescent="0.25">
      <c r="A19">
        <v>414</v>
      </c>
      <c r="B19">
        <v>1.709948016510761</v>
      </c>
    </row>
    <row r="20" spans="1:2" x14ac:dyDescent="0.25">
      <c r="A20">
        <v>390</v>
      </c>
      <c r="B20">
        <v>1.7481104674949839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陳</dc:creator>
  <cp:lastModifiedBy>Danny 陳</cp:lastModifiedBy>
  <dcterms:created xsi:type="dcterms:W3CDTF">2026-02-26T01:36:58Z</dcterms:created>
  <dcterms:modified xsi:type="dcterms:W3CDTF">2026-02-26T02:12:47Z</dcterms:modified>
</cp:coreProperties>
</file>